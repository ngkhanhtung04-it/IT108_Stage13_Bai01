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527"/>
  <workbookPr/>
  <mc:AlternateContent xmlns:mc="http://schemas.openxmlformats.org/markup-compatibility/2006">
    <mc:Choice Requires="x15">
      <x15ac:absPath xmlns:x15ac="http://schemas.microsoft.com/office/spreadsheetml/2010/11/ac" url="C:\IT108\Stage13\Bai01\greentech-system\data\"/>
    </mc:Choice>
  </mc:AlternateContent>
  <xr:revisionPtr revIDLastSave="0" documentId="13_ncr:1_{4A2CDFD5-57F5-4AF0-A730-A2CF05708174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danh-muc-linh-kien" sheetId="1" r:id="rId1"/>
    <sheet name="trang-thai-tram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2" l="1"/>
  <c r="F4" i="2"/>
  <c r="F5" i="2"/>
  <c r="F6" i="2"/>
  <c r="F2" i="2"/>
  <c r="E3" i="2"/>
  <c r="E4" i="2"/>
  <c r="E5" i="2"/>
  <c r="E6" i="2"/>
  <c r="E2" i="2"/>
  <c r="G3" i="2"/>
  <c r="G4" i="2"/>
  <c r="G5" i="2"/>
  <c r="G6" i="2"/>
  <c r="G2" i="2"/>
</calcChain>
</file>

<file path=xl/sharedStrings.xml><?xml version="1.0" encoding="utf-8"?>
<sst xmlns="http://schemas.openxmlformats.org/spreadsheetml/2006/main" count="41" uniqueCount="28">
  <si>
    <t>ma_linh_kien</t>
  </si>
  <si>
    <t>ten_thiet_bi</t>
  </si>
  <si>
    <t>don_gia</t>
  </si>
  <si>
    <t>loai_storage</t>
  </si>
  <si>
    <t>LK001</t>
  </si>
  <si>
    <t>SSD Samsung 256GB</t>
  </si>
  <si>
    <t>SSD</t>
  </si>
  <si>
    <t>LK002</t>
  </si>
  <si>
    <t>SSD Kingston 512GB</t>
  </si>
  <si>
    <t>LK003</t>
  </si>
  <si>
    <t>HDD Seagate 1TB</t>
  </si>
  <si>
    <t>HDD</t>
  </si>
  <si>
    <t>LK004</t>
  </si>
  <si>
    <t>SSD WD 1TB</t>
  </si>
  <si>
    <t>LK005</t>
  </si>
  <si>
    <t>HDD Toshiba 2TB</t>
  </si>
  <si>
    <t>ma_tram</t>
  </si>
  <si>
    <t>dung_luong_ram</t>
  </si>
  <si>
    <t>ngay_lap_dat</t>
  </si>
  <si>
    <t>T001</t>
  </si>
  <si>
    <t>8GB</t>
  </si>
  <si>
    <t>T002</t>
  </si>
  <si>
    <t>16GB</t>
  </si>
  <si>
    <t>T003</t>
  </si>
  <si>
    <t>T004</t>
  </si>
  <si>
    <t>T005</t>
  </si>
  <si>
    <t>32GB</t>
  </si>
  <si>
    <t>ma_linh_kien_sach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</si>
</sst>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/>
    <xf numFmtId="14" fontId="0" fillId="0" borderId="0" xfId="0" applyNumberFormat="1" applyAlignment="1">
      <alignment vertical="center" wrapText="1"/>
    </xf>
    <xf numFmtId="14" fontId="1" fillId="0" borderId="0" xfId="0" applyNumberFormat="1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workbookViewId="0">
      <selection activeCell="G4" sqref="G4"/>
    </sheetView>
  </sheetViews>
  <sheetFormatPr defaultRowHeight="15" x14ac:dyDescent="0.25"/>
  <sheetData>
    <row r="1" spans="1:4" ht="30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ht="45" x14ac:dyDescent="0.25">
      <c r="A2" s="2" t="s">
        <v>4</v>
      </c>
      <c r="B2" s="2" t="s">
        <v>5</v>
      </c>
      <c r="C2" s="2">
        <v>850000</v>
      </c>
      <c r="D2" s="2" t="s">
        <v>6</v>
      </c>
    </row>
    <row r="3" spans="1:4" ht="45" x14ac:dyDescent="0.25">
      <c r="A3" s="2" t="s">
        <v>7</v>
      </c>
      <c r="B3" s="2" t="s">
        <v>8</v>
      </c>
      <c r="C3" s="2">
        <v>1250000</v>
      </c>
      <c r="D3" s="2" t="s">
        <v>6</v>
      </c>
    </row>
    <row r="4" spans="1:4" ht="45" x14ac:dyDescent="0.25">
      <c r="A4" s="2" t="s">
        <v>9</v>
      </c>
      <c r="B4" s="2" t="s">
        <v>10</v>
      </c>
      <c r="C4" s="2">
        <v>1100000</v>
      </c>
      <c r="D4" s="2" t="s">
        <v>11</v>
      </c>
    </row>
    <row r="5" spans="1:4" ht="30" x14ac:dyDescent="0.25">
      <c r="A5" s="2" t="s">
        <v>12</v>
      </c>
      <c r="B5" s="2" t="s">
        <v>13</v>
      </c>
      <c r="C5" s="2">
        <v>1800000</v>
      </c>
      <c r="D5" s="2" t="s">
        <v>6</v>
      </c>
    </row>
    <row r="6" spans="1:4" ht="45" x14ac:dyDescent="0.25">
      <c r="A6" s="2" t="s">
        <v>14</v>
      </c>
      <c r="B6" s="2" t="s">
        <v>15</v>
      </c>
      <c r="C6" s="2">
        <v>1650000</v>
      </c>
      <c r="D6" s="2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C946BC-3261-4EA7-A6EB-62A32B82215F}">
  <dimension ref="A1:G6"/>
  <sheetViews>
    <sheetView tabSelected="1" workbookViewId="0">
      <selection activeCell="J4" sqref="J4"/>
    </sheetView>
  </sheetViews>
  <sheetFormatPr defaultRowHeight="15" x14ac:dyDescent="0.25"/>
  <cols>
    <col min="4" max="4" width="15.28515625" style="3" customWidth="1"/>
    <col min="5" max="5" width="24.85546875" customWidth="1"/>
    <col min="7" max="7" width="18" customWidth="1"/>
  </cols>
  <sheetData>
    <row r="1" spans="1:7" ht="30" x14ac:dyDescent="0.25">
      <c r="A1" s="1" t="s">
        <v>16</v>
      </c>
      <c r="B1" s="1" t="s">
        <v>0</v>
      </c>
      <c r="C1" s="1" t="s">
        <v>17</v>
      </c>
      <c r="D1" s="5" t="s">
        <v>18</v>
      </c>
      <c r="E1" t="s">
        <v>1</v>
      </c>
      <c r="F1" t="s">
        <v>2</v>
      </c>
      <c r="G1" t="s">
        <v>27</v>
      </c>
    </row>
    <row r="2" spans="1:7" x14ac:dyDescent="0.25">
      <c r="A2" s="2" t="s">
        <v>19</v>
      </c>
      <c r="B2" s="2" t="s">
        <v>4</v>
      </c>
      <c r="C2" s="2" t="s">
        <v>20</v>
      </c>
      <c r="D2" s="4">
        <v>46296</v>
      </c>
      <c r="E2" t="str">
        <f>VLOOKUP(G2,'danh-muc-linh-kien'!A2:D6,2,FALSE)</f>
        <v>SSD Samsung 256GB</v>
      </c>
      <c r="F2">
        <f>VLOOKUP(G2,'danh-muc-linh-kien'!A2:C6,3,FALSE)</f>
        <v>850000</v>
      </c>
      <c r="G2" t="str">
        <f>TRIM(B2)</f>
        <v>LK001</v>
      </c>
    </row>
    <row r="3" spans="1:7" x14ac:dyDescent="0.25">
      <c r="A3" s="2" t="s">
        <v>21</v>
      </c>
      <c r="B3" s="2" t="s">
        <v>7</v>
      </c>
      <c r="C3" s="2" t="s">
        <v>22</v>
      </c>
      <c r="D3" s="4">
        <v>46297</v>
      </c>
      <c r="E3" t="str">
        <f>VLOOKUP(G3,'danh-muc-linh-kien'!A3:D7,2,FALSE)</f>
        <v>SSD Kingston 512GB</v>
      </c>
      <c r="F3">
        <f>VLOOKUP(G3,'danh-muc-linh-kien'!A3:C7,3,FALSE)</f>
        <v>1250000</v>
      </c>
      <c r="G3" t="str">
        <f t="shared" ref="G3:G6" si="0">TRIM(B3)</f>
        <v>LK002</v>
      </c>
    </row>
    <row r="4" spans="1:7" x14ac:dyDescent="0.25">
      <c r="A4" s="2" t="s">
        <v>23</v>
      </c>
      <c r="B4" s="2" t="s">
        <v>9</v>
      </c>
      <c r="C4" s="2" t="s">
        <v>20</v>
      </c>
      <c r="D4" s="4">
        <v>46298</v>
      </c>
      <c r="E4" t="str">
        <f>VLOOKUP(G4,'danh-muc-linh-kien'!A4:D8,2,FALSE)</f>
        <v>HDD Seagate 1TB</v>
      </c>
      <c r="F4">
        <f>VLOOKUP(G4,'danh-muc-linh-kien'!A4:C8,3,FALSE)</f>
        <v>1100000</v>
      </c>
      <c r="G4" t="str">
        <f t="shared" si="0"/>
        <v>LK003</v>
      </c>
    </row>
    <row r="5" spans="1:7" x14ac:dyDescent="0.25">
      <c r="A5" s="2" t="s">
        <v>24</v>
      </c>
      <c r="B5" s="2" t="s">
        <v>12</v>
      </c>
      <c r="C5" s="2" t="s">
        <v>22</v>
      </c>
      <c r="D5" s="4">
        <v>46299</v>
      </c>
      <c r="E5" t="str">
        <f>VLOOKUP(G5,'danh-muc-linh-kien'!A5:D9,2,FALSE)</f>
        <v>SSD WD 1TB</v>
      </c>
      <c r="F5">
        <f>VLOOKUP(G5,'danh-muc-linh-kien'!A5:C9,3,FALSE)</f>
        <v>1800000</v>
      </c>
      <c r="G5" t="str">
        <f t="shared" si="0"/>
        <v>LK004</v>
      </c>
    </row>
    <row r="6" spans="1:7" x14ac:dyDescent="0.25">
      <c r="A6" s="2" t="s">
        <v>25</v>
      </c>
      <c r="B6" s="2" t="s">
        <v>14</v>
      </c>
      <c r="C6" s="2" t="s">
        <v>26</v>
      </c>
      <c r="D6" s="4">
        <v>46300</v>
      </c>
      <c r="E6" t="str">
        <f>VLOOKUP(G6,'danh-muc-linh-kien'!A6:D10,2,FALSE)</f>
        <v>HDD Toshiba 2TB</v>
      </c>
      <c r="F6">
        <f>VLOOKUP(G6,'danh-muc-linh-kien'!A6:C10,3,FALSE)</f>
        <v>1650000</v>
      </c>
      <c r="G6" t="str">
        <f t="shared" si="0"/>
        <v>LK005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danh-muc-linh-kien</vt:lpstr>
      <vt:lpstr>trang-thai-tram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Khánh Tùng Nguyễn</cp:lastModifiedBy>
  <dcterms:created xsi:type="dcterms:W3CDTF">2015-06-05T18:17:20Z</dcterms:created>
  <dcterms:modified xsi:type="dcterms:W3CDTF">2026-10-27T19:33:30Z</dcterms:modified>
</cp:coreProperties>
</file>